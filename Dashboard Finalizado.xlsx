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erson\Downloads\dio\dashboard\"/>
    </mc:Choice>
  </mc:AlternateContent>
  <bookViews>
    <workbookView xWindow="-120" yWindow="-120" windowWidth="20730" windowHeight="1104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3" l="1"/>
  <c r="E27" i="3"/>
</calcChain>
</file>

<file path=xl/sharedStrings.xml><?xml version="1.0" encoding="utf-8"?>
<sst xmlns="http://schemas.openxmlformats.org/spreadsheetml/2006/main" count="2025" uniqueCount="327">
  <si>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</si>
  <si>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</si>
  <si>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</si>
  <si>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</si>
  <si>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</si>
  <si>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</si>
  <si>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</si>
  <si>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</si>
  <si>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</si>
  <si>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</si>
  <si>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</si>
  <si>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</si>
  <si>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</si>
  <si>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</si>
  <si>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</si>
  <si>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</si>
  <si>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</si>
  <si>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</si>
  <si>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</si>
  <si>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</si>
  <si>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</si>
  <si>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</si>
  <si>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</si>
  <si>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</si>
  <si>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</si>
  <si>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</si>
  <si>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</si>
  <si>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</si>
  <si>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</si>
  <si>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</si>
  <si>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</si>
  <si>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</si>
  <si>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</si>
  <si>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</si>
  <si>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</si>
  <si>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</si>
  <si>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</si>
  <si>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</si>
  <si>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</si>
  <si>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</si>
  <si>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</si>
  <si>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</si>
  <si>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</si>
  <si>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</si>
  <si>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</si>
  <si>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</si>
  <si>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</si>
  <si>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</si>
  <si>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</si>
  <si>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</si>
  <si>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</si>
  <si>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</si>
  <si>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</si>
  <si>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</si>
  <si>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</si>
  <si>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</si>
  <si>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</si>
  <si>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</si>
  <si>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</si>
  <si>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</si>
  <si>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</si>
  <si>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</si>
  <si>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</si>
  <si>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</si>
  <si>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</si>
  <si>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</si>
  <si>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</si>
  <si>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</si>
  <si>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</si>
  <si>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</si>
  <si>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</si>
  <si>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</si>
  <si>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</si>
  <si>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</si>
  <si>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</si>
  <si>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</si>
  <si>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</si>
  <si>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</si>
  <si>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</si>
  <si>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</si>
  <si>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</si>
  <si>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</si>
  <si>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</si>
  <si>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</si>
  <si>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</si>
  <si>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</si>
  <si>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</si>
  <si>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</si>
  <si>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</si>
  <si>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</si>
  <si>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</si>
  <si>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</si>
  <si>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</si>
  <si>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</si>
  <si>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</si>
  <si>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</si>
  <si>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</si>
  <si>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</si>
  <si>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</si>
  <si>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</si>
  <si>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</si>
  <si>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</si>
  <si>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</si>
  <si>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</si>
  <si>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</si>
  <si>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</si>
  <si>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</si>
  <si>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</si>
  <si>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</si>
  <si>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</si>
  <si>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</si>
  <si>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</si>
  <si>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</si>
  <si>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</si>
  <si>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</si>
  <si>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</si>
  <si>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</si>
  <si>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</si>
  <si>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</si>
  <si>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</si>
  <si>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</si>
  <si>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</si>
  <si>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</si>
  <si>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</si>
  <si>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</si>
  <si>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</si>
  <si>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</si>
  <si>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</si>
  <si>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</si>
  <si>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</si>
  <si>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</si>
  <si>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</si>
  <si>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</si>
  <si>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</si>
  <si>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</si>
  <si>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</si>
  <si>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</si>
  <si>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</si>
  <si>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</si>
  <si>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</si>
  <si>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</si>
  <si>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</si>
  <si>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</si>
  <si>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</si>
  <si>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</si>
  <si>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</si>
  <si>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</si>
  <si>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</si>
  <si>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</si>
  <si>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</si>
  <si>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</si>
  <si>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</si>
  <si>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</si>
  <si>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</si>
  <si>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</si>
  <si>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</si>
  <si>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</si>
  <si>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</si>
  <si>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</si>
  <si>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</si>
  <si>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</si>
  <si>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</si>
  <si>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</si>
  <si>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</si>
  <si>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</si>
  <si>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</si>
  <si>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</si>
  <si>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</si>
  <si>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</si>
  <si>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</si>
  <si>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</si>
  <si>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</si>
  <si>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</si>
  <si>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</si>
  <si>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</si>
  <si>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</si>
  <si>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</si>
  <si>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</si>
  <si>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</si>
  <si>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</si>
  <si>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</si>
  <si>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</si>
  <si>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</si>
  <si>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</si>
  <si>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</si>
  <si>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</si>
  <si>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</si>
  <si>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</si>
  <si>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</si>
  <si>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</si>
  <si>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</si>
  <si>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</si>
  <si>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</si>
  <si>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</si>
  <si>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</si>
  <si>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</si>
  <si>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</si>
  <si>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</si>
  <si>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</si>
  <si>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</si>
  <si>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</si>
  <si>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</si>
  <si>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</si>
  <si>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</si>
  <si>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</si>
  <si>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</si>
  <si>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</si>
  <si>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</si>
  <si>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</si>
  <si>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</si>
  <si>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</si>
  <si>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</si>
  <si>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</si>
  <si>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</si>
  <si>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</si>
  <si>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</si>
  <si>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</si>
  <si>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</si>
  <si>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</si>
  <si>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</si>
  <si>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</si>
  <si>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</si>
  <si>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</si>
  <si>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</si>
  <si>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</si>
  <si>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</si>
  <si>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</si>
  <si>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</si>
  <si>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</si>
  <si>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</si>
  <si>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</si>
  <si>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</si>
  <si>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</si>
  <si>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</si>
  <si>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</si>
  <si>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</si>
  <si>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</si>
  <si>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</si>
  <si>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</si>
  <si>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</si>
  <si>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</si>
  <si>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</si>
  <si>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</si>
  <si>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</si>
  <si>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</si>
  <si>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</si>
  <si>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</si>
  <si>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</si>
  <si>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</si>
  <si>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</si>
  <si>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</si>
  <si>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</si>
  <si>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</si>
  <si>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</si>
  <si>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</si>
  <si>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</si>
  <si>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</si>
  <si>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</si>
  <si>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</si>
  <si>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</si>
  <si>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</si>
  <si>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</si>
  <si>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</si>
  <si>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</si>
  <si>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</si>
  <si>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</si>
  <si>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</si>
  <si>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</si>
  <si>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</si>
  <si>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</si>
  <si>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</si>
  <si>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</si>
  <si>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</si>
  <si>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</si>
  <si>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</si>
  <si>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</si>
  <si>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</si>
  <si>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</si>
  <si>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</si>
  <si>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</si>
  <si>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</si>
  <si>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</si>
  <si>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</si>
  <si>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</si>
  <si>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</si>
  <si>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</si>
  <si>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</si>
  <si>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</si>
  <si>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</si>
  <si>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</si>
  <si>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</si>
  <si>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</si>
  <si>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</si>
  <si>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</si>
  <si>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</si>
  <si>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</si>
  <si>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</si>
  <si>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</si>
  <si>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</si>
  <si>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</si>
  <si>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</si>
  <si>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</si>
  <si>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</si>
  <si>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</si>
  <si>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</si>
  <si>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</si>
  <si>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</si>
  <si>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</si>
  <si>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</si>
  <si>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</si>
  <si>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</si>
  <si>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</si>
  <si>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</si>
  <si>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negocios 1= Qual o faturamento total vendas de plano anuais (contendo todas assinaturas)</t>
  </si>
  <si>
    <t>Pergunta de negocios 2= Qual o faturamento de vendas de planos anuais seprados por renovação não é por auto renovação</t>
  </si>
  <si>
    <t>Rótulos de Linha</t>
  </si>
  <si>
    <t>Total Geral</t>
  </si>
  <si>
    <t>Soma de Total Value</t>
  </si>
  <si>
    <t>86,168,0</t>
  </si>
  <si>
    <t>255,0,0</t>
  </si>
  <si>
    <t>232,230,237</t>
  </si>
  <si>
    <t>Soma de EA Play Season Pass</t>
  </si>
  <si>
    <t>Total de vendas EA Play</t>
  </si>
  <si>
    <t>4 Total de vendas Minecraft Season Pass</t>
  </si>
  <si>
    <t>Soma de Minecraft Season Pass Price</t>
  </si>
  <si>
    <t xml:space="preserve">             XBOX GAME PASS SUBSCRIPTIONS SALES</t>
  </si>
  <si>
    <t>Periodo de apuração 01/01/2024 a 31/12/2024 - Update em 13/01/2026 15:32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</si>
</sst>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  <font>
      <b/>
      <sz val="15"/>
      <color rgb="FF2AE6B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92D05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0" xfId="0" applyFill="1"/>
    <xf numFmtId="0" fontId="0" fillId="0" borderId="0" xfId="0" applyAlignment="1">
      <alignment horizontal="center"/>
    </xf>
    <xf numFmtId="0" fontId="5" fillId="0" borderId="2" xfId="1" applyFont="1" applyFill="1" applyBorder="1"/>
    <xf numFmtId="165" fontId="0" fillId="0" borderId="0" xfId="0" applyNumberFormat="1"/>
    <xf numFmtId="44" fontId="0" fillId="0" borderId="0" xfId="2" applyFont="1"/>
    <xf numFmtId="0" fontId="4" fillId="0" borderId="2" xfId="1" applyFont="1" applyFill="1" applyBorder="1" applyAlignment="1"/>
    <xf numFmtId="0" fontId="4" fillId="0" borderId="0" xfId="1" applyFont="1" applyFill="1" applyBorder="1" applyAlignment="1"/>
    <xf numFmtId="0" fontId="5" fillId="0" borderId="0" xfId="1" applyFont="1" applyFill="1" applyBorder="1"/>
    <xf numFmtId="0" fontId="0" fillId="0" borderId="0" xfId="0" applyAlignment="1"/>
  </cellXfs>
  <cellStyles count="3">
    <cellStyle name="Moeda" xfId="2" builtinId="4"/>
    <cellStyle name="Normal" xfId="0" builtinId="0"/>
    <cellStyle name="Título 1" xfId="1" builtinId="16"/>
  </cellStyles>
  <dxfs count="27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SlicerStyleLight6 2" pivot="0" table="0" count="10">
      <tableStyleElement type="wholeTable" dxfId="12"/>
      <tableStyleElement type="headerRow" dxfId="11"/>
    </tableStyle>
    <tableStyle name="SlicerStyleLight6 2 2" pivot="0" table="0" count="10">
      <tableStyleElement type="wholeTable" dxfId="10"/>
      <tableStyleElement type="headerRow" dxfId="9"/>
    </tableStyle>
  </tableStyles>
  <colors>
    <mruColors>
      <color rgb="FF5BF6A8"/>
      <color rgb="FF2AE6B1"/>
      <color rgb="FF56A800"/>
      <color rgb="FFE8E6E9"/>
      <color rgb="FFFF0000"/>
      <color rgb="FF22C55E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Finalizado.xlsx]C̳álculos!Tabela dinâmica1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6A800"/>
          </a:solidFill>
          <a:ln>
            <a:noFill/>
          </a:ln>
          <a:effectLst/>
        </c:spPr>
      </c:pivotFmt>
      <c:pivotFmt>
        <c:idx val="2"/>
        <c:spPr>
          <a:solidFill>
            <a:srgbClr val="56A80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944446631671041"/>
          <c:y val="0.22944006999125111"/>
          <c:w val="0.63329155730533682"/>
          <c:h val="0.664171041119860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6A8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34-4170-B627-B9888320C295}"/>
              </c:ext>
            </c:extLst>
          </c:dPt>
          <c:dPt>
            <c:idx val="1"/>
            <c:invertIfNegative val="0"/>
            <c:bubble3D val="0"/>
            <c:spPr>
              <a:solidFill>
                <a:srgbClr val="56A8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34-4170-B627-B9888320C295}"/>
              </c:ext>
            </c:extLst>
          </c:dPt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_(* #,##0.00_);_(* \(#,##0.00\);_(*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4-4170-B627-B9888320C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2922255"/>
        <c:axId val="1212916431"/>
      </c:barChart>
      <c:catAx>
        <c:axId val="1212922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2916431"/>
        <c:crosses val="autoZero"/>
        <c:auto val="1"/>
        <c:lblAlgn val="ctr"/>
        <c:lblOffset val="100"/>
        <c:noMultiLvlLbl val="0"/>
      </c:catAx>
      <c:valAx>
        <c:axId val="12129164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crossAx val="121292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Finalizado.xlsx]C̳álculos!Tabela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6A800"/>
          </a:solidFill>
          <a:ln>
            <a:noFill/>
          </a:ln>
          <a:effectLst/>
        </c:spPr>
      </c:pivotFmt>
      <c:pivotFmt>
        <c:idx val="2"/>
        <c:spPr>
          <a:solidFill>
            <a:srgbClr val="56A80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56A800"/>
          </a:solidFill>
          <a:ln>
            <a:noFill/>
          </a:ln>
          <a:effectLst/>
        </c:spPr>
      </c:pivotFmt>
      <c:pivotFmt>
        <c:idx val="6"/>
        <c:spPr>
          <a:solidFill>
            <a:srgbClr val="56A800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rgbClr val="56A800"/>
          </a:solidFill>
          <a:ln>
            <a:noFill/>
          </a:ln>
          <a:effectLst/>
        </c:spPr>
      </c:pivotFmt>
      <c:pivotFmt>
        <c:idx val="9"/>
        <c:spPr>
          <a:solidFill>
            <a:srgbClr val="56A800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rgbClr val="5BF6A8"/>
          </a:solidFill>
          <a:ln>
            <a:noFill/>
          </a:ln>
          <a:effectLst/>
        </c:spPr>
      </c:pivotFmt>
      <c:pivotFmt>
        <c:idx val="12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484082958023149"/>
          <c:y val="0.22944010377081242"/>
          <c:w val="0.63329155730533682"/>
          <c:h val="0.664171041119860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E1-4A0A-8ECC-6D3BB87511EE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E1-4A0A-8ECC-6D3BB87511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_(* #,##0.00_);_(* \(#,##0.00\);_(*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E1-4A0A-8ECC-6D3BB8751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2922255"/>
        <c:axId val="1212916431"/>
      </c:barChart>
      <c:catAx>
        <c:axId val="1212922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2916431"/>
        <c:crosses val="autoZero"/>
        <c:auto val="1"/>
        <c:lblAlgn val="ctr"/>
        <c:lblOffset val="100"/>
        <c:noMultiLvlLbl val="0"/>
      </c:catAx>
      <c:valAx>
        <c:axId val="1212916431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crossAx val="121292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11" Type="http://schemas.openxmlformats.org/officeDocument/2006/relationships/image" Target="../media/image4.png"/><Relationship Id="rId5" Type="http://schemas.openxmlformats.org/officeDocument/2006/relationships/image" Target="../media/image8.png"/><Relationship Id="rId10" Type="http://schemas.openxmlformats.org/officeDocument/2006/relationships/image" Target="../media/image10.sv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47625</xdr:colOff>
      <xdr:row>12</xdr:row>
      <xdr:rowOff>123825</xdr:rowOff>
    </xdr:from>
    <xdr:to>
      <xdr:col>10</xdr:col>
      <xdr:colOff>133350</xdr:colOff>
      <xdr:row>16</xdr:row>
      <xdr:rowOff>47625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810250" y="2457450"/>
          <a:ext cx="771525" cy="6572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74083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74083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1928812</xdr:colOff>
      <xdr:row>6</xdr:row>
      <xdr:rowOff>66675</xdr:rowOff>
    </xdr:from>
    <xdr:to>
      <xdr:col>6</xdr:col>
      <xdr:colOff>1628775</xdr:colOff>
      <xdr:row>20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95250</xdr:colOff>
      <xdr:row>6</xdr:row>
      <xdr:rowOff>76200</xdr:rowOff>
    </xdr:from>
    <xdr:to>
      <xdr:col>3</xdr:col>
      <xdr:colOff>1924050</xdr:colOff>
      <xdr:row>13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29175" y="1162050"/>
              <a:ext cx="1828800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83343</xdr:colOff>
      <xdr:row>0</xdr:row>
      <xdr:rowOff>0</xdr:rowOff>
    </xdr:from>
    <xdr:to>
      <xdr:col>2</xdr:col>
      <xdr:colOff>571499</xdr:colOff>
      <xdr:row>2</xdr:row>
      <xdr:rowOff>343567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44" r="70130"/>
        <a:stretch/>
      </xdr:blipFill>
      <xdr:spPr>
        <a:xfrm>
          <a:off x="2071687" y="0"/>
          <a:ext cx="762000" cy="974598"/>
        </a:xfrm>
        <a:prstGeom prst="rect">
          <a:avLst/>
        </a:prstGeom>
      </xdr:spPr>
    </xdr:pic>
    <xdr:clientData/>
  </xdr:twoCellAnchor>
  <xdr:twoCellAnchor>
    <xdr:from>
      <xdr:col>2</xdr:col>
      <xdr:colOff>47626</xdr:colOff>
      <xdr:row>18</xdr:row>
      <xdr:rowOff>23814</xdr:rowOff>
    </xdr:from>
    <xdr:to>
      <xdr:col>17</xdr:col>
      <xdr:colOff>107156</xdr:colOff>
      <xdr:row>29</xdr:row>
      <xdr:rowOff>83344</xdr:rowOff>
    </xdr:to>
    <xdr:grpSp>
      <xdr:nvGrpSpPr>
        <xdr:cNvPr id="6" name="Agrupar 5"/>
        <xdr:cNvGrpSpPr/>
      </xdr:nvGrpSpPr>
      <xdr:grpSpPr>
        <a:xfrm>
          <a:off x="2309814" y="4060033"/>
          <a:ext cx="10036967" cy="2024061"/>
          <a:chOff x="1297781" y="1464469"/>
          <a:chExt cx="4179094" cy="2024062"/>
        </a:xfrm>
      </xdr:grpSpPr>
      <xdr:sp macro="" textlink="">
        <xdr:nvSpPr>
          <xdr:cNvPr id="5" name="Retângulo Arredondado 4"/>
          <xdr:cNvSpPr/>
        </xdr:nvSpPr>
        <xdr:spPr>
          <a:xfrm>
            <a:off x="1297781" y="1464469"/>
            <a:ext cx="4179094" cy="2024062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/>
          <xdr:cNvGraphicFramePr>
            <a:graphicFrameLocks/>
          </xdr:cNvGraphicFramePr>
        </xdr:nvGraphicFramePr>
        <xdr:xfrm>
          <a:off x="1333500" y="1559719"/>
          <a:ext cx="3964781" cy="18454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35719</xdr:colOff>
      <xdr:row>6</xdr:row>
      <xdr:rowOff>47625</xdr:rowOff>
    </xdr:from>
    <xdr:to>
      <xdr:col>1</xdr:col>
      <xdr:colOff>0</xdr:colOff>
      <xdr:row>13</xdr:row>
      <xdr:rowOff>107157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9" y="1940719"/>
              <a:ext cx="1952625" cy="13096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35718</xdr:colOff>
      <xdr:row>4</xdr:row>
      <xdr:rowOff>119062</xdr:rowOff>
    </xdr:from>
    <xdr:to>
      <xdr:col>8</xdr:col>
      <xdr:colOff>309562</xdr:colOff>
      <xdr:row>12</xdr:row>
      <xdr:rowOff>130968</xdr:rowOff>
    </xdr:to>
    <xdr:sp macro="" textlink="">
      <xdr:nvSpPr>
        <xdr:cNvPr id="9" name="Retângulo 8"/>
        <xdr:cNvSpPr/>
      </xdr:nvSpPr>
      <xdr:spPr>
        <a:xfrm>
          <a:off x="2297906" y="1202531"/>
          <a:ext cx="4417219" cy="14406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35718</xdr:colOff>
      <xdr:row>4</xdr:row>
      <xdr:rowOff>130969</xdr:rowOff>
    </xdr:from>
    <xdr:to>
      <xdr:col>8</xdr:col>
      <xdr:colOff>333374</xdr:colOff>
      <xdr:row>12</xdr:row>
      <xdr:rowOff>107155</xdr:rowOff>
    </xdr:to>
    <xdr:grpSp>
      <xdr:nvGrpSpPr>
        <xdr:cNvPr id="14" name="Agrupar 13"/>
        <xdr:cNvGrpSpPr/>
      </xdr:nvGrpSpPr>
      <xdr:grpSpPr>
        <a:xfrm>
          <a:off x="2297906" y="1666875"/>
          <a:ext cx="4441031" cy="1404936"/>
          <a:chOff x="2297906" y="1214438"/>
          <a:chExt cx="4441031" cy="1404936"/>
        </a:xfrm>
      </xdr:grpSpPr>
      <xdr:sp macro="" textlink="C̳álculos!E27">
        <xdr:nvSpPr>
          <xdr:cNvPr id="10" name="Retângulo 9"/>
          <xdr:cNvSpPr/>
        </xdr:nvSpPr>
        <xdr:spPr>
          <a:xfrm>
            <a:off x="3998120" y="1916906"/>
            <a:ext cx="2574130" cy="60126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10BC4A69-8B75-4320-86C4-9124F3807E7F}" type="TxLink">
              <a:rPr lang="en-US" sz="3200" b="0" i="0" u="none" strike="noStrike">
                <a:ln>
                  <a:noFill/>
                </a:ln>
                <a:solidFill>
                  <a:srgbClr val="5BF6A8"/>
                </a:solidFill>
                <a:latin typeface="Aptos Narrow"/>
              </a:rPr>
              <a:t>R$ 990,00</a:t>
            </a:fld>
            <a:endParaRPr lang="pt-BR" sz="3200">
              <a:ln>
                <a:noFill/>
              </a:ln>
              <a:solidFill>
                <a:srgbClr val="5BF6A8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97906" y="1785937"/>
            <a:ext cx="940594" cy="833437"/>
          </a:xfrm>
          <a:prstGeom prst="rect">
            <a:avLst/>
          </a:prstGeom>
        </xdr:spPr>
      </xdr:pic>
      <xdr:sp macro="" textlink="">
        <xdr:nvSpPr>
          <xdr:cNvPr id="12" name="Arredondar Retângulo no Mesmo Canto Lateral 11"/>
          <xdr:cNvSpPr/>
        </xdr:nvSpPr>
        <xdr:spPr>
          <a:xfrm>
            <a:off x="2321718" y="1214438"/>
            <a:ext cx="4417219" cy="631031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SUBSCRIOTIONS</a:t>
            </a:r>
            <a:r>
              <a:rPr lang="pt-BR" sz="1100" baseline="0"/>
              <a:t> EA PLAY SEASON PASS</a:t>
            </a:r>
            <a:endParaRPr lang="pt-BR" sz="1100"/>
          </a:p>
        </xdr:txBody>
      </xdr:sp>
    </xdr:grpSp>
    <xdr:clientData/>
  </xdr:twoCellAnchor>
  <xdr:twoCellAnchor>
    <xdr:from>
      <xdr:col>10</xdr:col>
      <xdr:colOff>23812</xdr:colOff>
      <xdr:row>5</xdr:row>
      <xdr:rowOff>0</xdr:rowOff>
    </xdr:from>
    <xdr:to>
      <xdr:col>16</xdr:col>
      <xdr:colOff>488156</xdr:colOff>
      <xdr:row>12</xdr:row>
      <xdr:rowOff>53576</xdr:rowOff>
    </xdr:to>
    <xdr:grpSp>
      <xdr:nvGrpSpPr>
        <xdr:cNvPr id="27" name="Agrupar 26"/>
        <xdr:cNvGrpSpPr/>
      </xdr:nvGrpSpPr>
      <xdr:grpSpPr>
        <a:xfrm>
          <a:off x="7810500" y="1714500"/>
          <a:ext cx="4417219" cy="1303732"/>
          <a:chOff x="7810500" y="1262063"/>
          <a:chExt cx="4417219" cy="1303732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8000999" y="2047876"/>
            <a:ext cx="1349451" cy="416718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xmlns="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grpSp>
        <xdr:nvGrpSpPr>
          <xdr:cNvPr id="23" name="Agrupar 22"/>
          <xdr:cNvGrpSpPr/>
        </xdr:nvGrpSpPr>
        <xdr:grpSpPr>
          <a:xfrm>
            <a:off x="7810500" y="1262063"/>
            <a:ext cx="4417219" cy="1303732"/>
            <a:chOff x="2321718" y="1214438"/>
            <a:chExt cx="4417219" cy="1303732"/>
          </a:xfrm>
        </xdr:grpSpPr>
        <xdr:sp macro="" textlink="C̳álculos!E39">
          <xdr:nvSpPr>
            <xdr:cNvPr id="24" name="Retângulo 23"/>
            <xdr:cNvSpPr/>
          </xdr:nvSpPr>
          <xdr:spPr>
            <a:xfrm>
              <a:off x="3998120" y="1916906"/>
              <a:ext cx="2574130" cy="60126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F13575BC-49C8-498D-A494-C6526121C17D}" type="TxLink">
                <a:rPr lang="en-US" sz="3200" b="0" i="0" u="none" strike="noStrike">
                  <a:ln>
                    <a:noFill/>
                  </a:ln>
                  <a:solidFill>
                    <a:srgbClr val="5BF6A8"/>
                  </a:solidFill>
                  <a:latin typeface="Aptos Narrow"/>
                </a:rPr>
                <a:t> R$ 1.140,00 </a:t>
              </a:fld>
              <a:endParaRPr lang="pt-BR" sz="3200">
                <a:ln>
                  <a:noFill/>
                </a:ln>
                <a:solidFill>
                  <a:srgbClr val="5BF6A8"/>
                </a:solidFill>
              </a:endParaRPr>
            </a:p>
          </xdr:txBody>
        </xdr:sp>
        <xdr:sp macro="" textlink="">
          <xdr:nvSpPr>
            <xdr:cNvPr id="26" name="Arredondar Retângulo no Mesmo Canto Lateral 25"/>
            <xdr:cNvSpPr/>
          </xdr:nvSpPr>
          <xdr:spPr>
            <a:xfrm>
              <a:off x="2321718" y="1214438"/>
              <a:ext cx="4417219" cy="631031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TOTAL SUBSCRIOTIONS</a:t>
              </a:r>
              <a:r>
                <a:rPr lang="pt-BR" sz="1100" baseline="0"/>
                <a:t> MINEGRAFT SEASON PASS</a:t>
              </a:r>
              <a:endParaRPr lang="pt-BR" sz="1100"/>
            </a:p>
          </xdr:txBody>
        </xdr:sp>
      </xdr:grpSp>
    </xdr:grpSp>
    <xdr:clientData/>
  </xdr:twoCellAnchor>
  <xdr:twoCellAnchor>
    <xdr:from>
      <xdr:col>2</xdr:col>
      <xdr:colOff>83344</xdr:colOff>
      <xdr:row>16</xdr:row>
      <xdr:rowOff>1</xdr:rowOff>
    </xdr:from>
    <xdr:to>
      <xdr:col>17</xdr:col>
      <xdr:colOff>59531</xdr:colOff>
      <xdr:row>18</xdr:row>
      <xdr:rowOff>130970</xdr:rowOff>
    </xdr:to>
    <xdr:sp macro="" textlink="">
      <xdr:nvSpPr>
        <xdr:cNvPr id="28" name="Arredondar Retângulo no Mesmo Canto Lateral 27"/>
        <xdr:cNvSpPr/>
      </xdr:nvSpPr>
      <xdr:spPr>
        <a:xfrm>
          <a:off x="2345532" y="3226595"/>
          <a:ext cx="9953624" cy="488156"/>
        </a:xfrm>
        <a:prstGeom prst="round2Same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TOTAL SUBSCRIOTIONS</a:t>
          </a:r>
          <a:r>
            <a:rPr lang="pt-BR" sz="1100" baseline="0"/>
            <a:t> XBOX GAME PASS</a:t>
          </a:r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771525</xdr:colOff>
      <xdr:row>3</xdr:row>
      <xdr:rowOff>204788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0" y="178594"/>
          <a:ext cx="771525" cy="657225"/>
        </a:xfrm>
        <a:prstGeom prst="ellipse">
          <a:avLst/>
        </a:prstGeom>
        <a:blipFill>
          <a:blip xmlns:r="http://schemas.openxmlformats.org/officeDocument/2006/relationships" r:embed="rId1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47625</xdr:colOff>
      <xdr:row>3</xdr:row>
      <xdr:rowOff>404813</xdr:rowOff>
    </xdr:from>
    <xdr:to>
      <xdr:col>0</xdr:col>
      <xdr:colOff>1940719</xdr:colOff>
      <xdr:row>5</xdr:row>
      <xdr:rowOff>119062</xdr:rowOff>
    </xdr:to>
    <xdr:sp macro="" textlink="">
      <xdr:nvSpPr>
        <xdr:cNvPr id="30" name="Retângulo Arredondado 29"/>
        <xdr:cNvSpPr/>
      </xdr:nvSpPr>
      <xdr:spPr>
        <a:xfrm>
          <a:off x="47625" y="1035844"/>
          <a:ext cx="1893094" cy="345281"/>
        </a:xfrm>
        <a:prstGeom prst="roundRect">
          <a:avLst/>
        </a:prstGeom>
        <a:solidFill>
          <a:srgbClr val="5BF6A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ysClr val="windowText" lastClr="000000"/>
              </a:solidFill>
            </a:rPr>
            <a:t>Bem</a:t>
          </a:r>
          <a:r>
            <a:rPr lang="pt-BR" sz="1100" baseline="0">
              <a:solidFill>
                <a:sysClr val="windowText" lastClr="000000"/>
              </a:solidFill>
            </a:rPr>
            <a:t> vinda</a:t>
          </a:r>
          <a:r>
            <a:rPr lang="pt-BR" sz="1100" b="0" i="0" u="none" strike="noStrike">
              <a:solidFill>
                <a:srgbClr val="000000"/>
              </a:solidFill>
              <a:effectLst/>
              <a:latin typeface="+mn-lt"/>
            </a:rPr>
            <a:t> </a:t>
          </a:r>
          <a:r>
            <a:rPr lang="pt-BR"/>
            <a:t> </a:t>
          </a:r>
          <a:r>
            <a:rPr lang="pt-BR" sz="1100" baseline="0">
              <a:solidFill>
                <a:sysClr val="windowText" lastClr="000000"/>
              </a:solidFill>
            </a:rPr>
            <a:t> Diretora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derson" refreshedDate="46035.454947222221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35:C3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23:C2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3"/>
  </dataFields>
  <formats count="1">
    <format dxfId="2">
      <pivotArea outline="0" collapsedLevelsAreSubtotals="1" fieldPosition="0"/>
    </format>
  </formats>
  <chartFormats count="6"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1"/>
    <pivotTable tabId="3" name="Tabela dinâmica2"/>
    <pivotTable tabId="3" name="Tabela dinâmica3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egmentaçãodeDados_Subscription_Type" caption="Subscription Type" style="SlicerStyleLight6 2 2" rowHeight="241300"/>
</slicers>
</file>

<file path=xl/tables/table1.xml><?xml version="1.0" encoding="utf-8"?>
<table xmlns="http://schemas.openxmlformats.org/spreadsheetml/2006/main" id="1" name="Tabela1" displayName="Tabela1" ref="A1:M296" totalsRowShown="0" dataDxfId="26">
  <autoFilter ref="A1:M296"/>
  <tableColumns count="13">
    <tableColumn id="1" name="Subscriber ID" dataDxfId="25"/>
    <tableColumn id="2" name="Name" dataDxfId="24"/>
    <tableColumn id="3" name="Plan" dataDxfId="23"/>
    <tableColumn id="4" name="Start Date" dataDxfId="22"/>
    <tableColumn id="5" name="Auto Renewal" dataDxfId="21"/>
    <tableColumn id="6" name="Subscription Price" dataDxfId="20" dataCellStyle="Moeda"/>
    <tableColumn id="7" name="Subscription Type" dataDxfId="19"/>
    <tableColumn id="8" name="EA Play Season Pass" dataDxfId="18"/>
    <tableColumn id="13" name="EA Play Season Pass_x000a_Price" dataDxfId="17" dataCellStyle="Moeda"/>
    <tableColumn id="9" name="Minecraft Season Pass" dataDxfId="16"/>
    <tableColumn id="10" name="Minecraft Season Pass Price" dataDxfId="15" dataCellStyle="Moeda"/>
    <tableColumn id="11" name="Coupon Value" dataDxfId="14" dataCellStyle="Moeda"/>
    <tableColumn id="12" name="Total Value" dataDxfId="1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3:P21"/>
  <sheetViews>
    <sheetView showGridLines="0" zoomScaleNormal="100" workbookViewId="0">
      <selection activeCell="D6" sqref="D6"/>
    </sheetView>
  </sheetViews>
  <sheetFormatPr defaultRowHeight="14.25"/>
  <cols>
    <col min="9" max="9" width="3.625" customWidth="1"/>
  </cols>
  <sheetData>
    <row r="3" spans="1:16" ht="20.25" thickBot="1">
      <c r="B3" s="1" t="s">
        <v>0</v>
      </c>
      <c r="C3" s="1"/>
      <c r="D3" s="1"/>
      <c r="E3" s="1"/>
      <c r="F3" s="1"/>
      <c r="G3" s="1"/>
      <c r="H3" s="1"/>
    </row>
    <row r="4" spans="1:16" ht="15" thickTop="1"/>
    <row r="5" spans="1:16">
      <c r="B5" s="3" t="s">
        <v>2</v>
      </c>
      <c r="C5" t="s">
        <v>8</v>
      </c>
      <c r="D5" t="s">
        <v>320</v>
      </c>
      <c r="E5" s="7" t="s">
        <v>6</v>
      </c>
      <c r="F5" t="s">
        <v>7</v>
      </c>
    </row>
    <row r="6" spans="1:16">
      <c r="B6" s="4" t="s">
        <v>3</v>
      </c>
      <c r="C6" t="s">
        <v>8</v>
      </c>
    </row>
    <row r="7" spans="1:16">
      <c r="A7" t="s">
        <v>319</v>
      </c>
      <c r="B7" s="5" t="s">
        <v>4</v>
      </c>
      <c r="C7" t="s">
        <v>9</v>
      </c>
    </row>
    <row r="8" spans="1:16">
      <c r="A8" t="s">
        <v>318</v>
      </c>
      <c r="B8" s="6" t="s">
        <v>5</v>
      </c>
      <c r="C8" t="s">
        <v>9</v>
      </c>
    </row>
    <row r="12" spans="1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1:16" ht="15" thickTop="1">
      <c r="B13" s="2"/>
      <c r="C13" s="2"/>
      <c r="D13" s="2"/>
      <c r="E13" s="2"/>
      <c r="F13" s="2"/>
      <c r="G13" s="2"/>
      <c r="H13" s="2"/>
    </row>
    <row r="14" spans="1:16">
      <c r="B14" s="2"/>
      <c r="C14" s="2"/>
      <c r="D14" s="2"/>
      <c r="E14" s="2"/>
      <c r="F14" s="2"/>
      <c r="G14" s="2"/>
      <c r="H14" s="2"/>
    </row>
    <row r="15" spans="1:16">
      <c r="B15" s="2"/>
      <c r="C15" s="2"/>
      <c r="D15" s="2"/>
      <c r="E15" s="2"/>
      <c r="F15" s="2"/>
      <c r="G15" s="2"/>
      <c r="H15" s="2"/>
    </row>
    <row r="16" spans="1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D1" zoomScale="90" zoomScaleNormal="90" workbookViewId="0">
      <selection activeCell="D6" sqref="D6"/>
    </sheetView>
  </sheetViews>
  <sheetFormatPr defaultRowHeight="14.25"/>
  <cols>
    <col min="1" max="1" width="17.875" bestFit="1" customWidth="1"/>
    <col min="2" max="2" width="18.875" bestFit="1" customWidth="1"/>
    <col min="3" max="3" width="9.375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8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27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22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36.7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29.2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31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53.2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36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30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36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4:E39"/>
  <sheetViews>
    <sheetView showGridLines="0" topLeftCell="B19" workbookViewId="0">
      <selection activeCell="D36" sqref="D36"/>
    </sheetView>
  </sheetViews>
  <sheetFormatPr defaultRowHeight="14.25"/>
  <cols>
    <col min="2" max="2" width="18" customWidth="1"/>
    <col min="3" max="3" width="35.125" customWidth="1"/>
    <col min="4" max="4" width="38.375" bestFit="1" customWidth="1"/>
    <col min="5" max="5" width="12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4" spans="2:3">
      <c r="B4" t="s">
        <v>313</v>
      </c>
    </row>
    <row r="6" spans="2:3">
      <c r="B6" t="s">
        <v>314</v>
      </c>
    </row>
    <row r="8" spans="2:3">
      <c r="B8" s="12" t="s">
        <v>16</v>
      </c>
      <c r="C8" t="s">
        <v>27</v>
      </c>
    </row>
    <row r="10" spans="2:3">
      <c r="B10" s="12" t="s">
        <v>315</v>
      </c>
      <c r="C10" t="s">
        <v>317</v>
      </c>
    </row>
    <row r="11" spans="2:3">
      <c r="B11" s="13" t="s">
        <v>23</v>
      </c>
      <c r="C11" s="14">
        <v>806</v>
      </c>
    </row>
    <row r="12" spans="2:3">
      <c r="B12" s="13" t="s">
        <v>19</v>
      </c>
      <c r="C12" s="14">
        <v>1502</v>
      </c>
    </row>
    <row r="13" spans="2:3">
      <c r="B13" s="13" t="s">
        <v>316</v>
      </c>
      <c r="C13" s="14">
        <v>2308</v>
      </c>
    </row>
    <row r="18" spans="2:5">
      <c r="B18" s="13" t="s">
        <v>322</v>
      </c>
    </row>
    <row r="21" spans="2:5">
      <c r="B21" s="12" t="s">
        <v>16</v>
      </c>
      <c r="C21" t="s">
        <v>27</v>
      </c>
    </row>
    <row r="23" spans="2:5">
      <c r="B23" s="12" t="s">
        <v>315</v>
      </c>
      <c r="C23" t="s">
        <v>321</v>
      </c>
    </row>
    <row r="24" spans="2:5">
      <c r="B24" s="13" t="s">
        <v>22</v>
      </c>
      <c r="C24" s="14">
        <v>0</v>
      </c>
    </row>
    <row r="25" spans="2:5">
      <c r="B25" s="13" t="s">
        <v>26</v>
      </c>
      <c r="C25" s="14">
        <v>0</v>
      </c>
    </row>
    <row r="26" spans="2:5">
      <c r="B26" s="13" t="s">
        <v>18</v>
      </c>
      <c r="C26" s="14">
        <v>990</v>
      </c>
    </row>
    <row r="27" spans="2:5">
      <c r="B27" s="13" t="s">
        <v>316</v>
      </c>
      <c r="C27" s="14">
        <v>990</v>
      </c>
      <c r="E27" s="18">
        <f>GETPIVOTDATA("EA Play Season Pass
Price",$B$23)</f>
        <v>990</v>
      </c>
    </row>
    <row r="30" spans="2:5">
      <c r="B30" s="13" t="s">
        <v>323</v>
      </c>
    </row>
    <row r="33" spans="2:5">
      <c r="B33" s="12" t="s">
        <v>16</v>
      </c>
      <c r="C33" t="s">
        <v>27</v>
      </c>
    </row>
    <row r="35" spans="2:5">
      <c r="B35" s="12" t="s">
        <v>315</v>
      </c>
      <c r="C35" t="s">
        <v>324</v>
      </c>
    </row>
    <row r="36" spans="2:5">
      <c r="B36" s="13" t="s">
        <v>22</v>
      </c>
      <c r="C36" s="14">
        <v>0</v>
      </c>
    </row>
    <row r="37" spans="2:5">
      <c r="B37" s="13" t="s">
        <v>26</v>
      </c>
      <c r="C37" s="14">
        <v>480</v>
      </c>
    </row>
    <row r="38" spans="2:5">
      <c r="B38" s="13" t="s">
        <v>18</v>
      </c>
      <c r="C38" s="14">
        <v>660</v>
      </c>
    </row>
    <row r="39" spans="2:5">
      <c r="B39" s="13" t="s">
        <v>316</v>
      </c>
      <c r="C39" s="14">
        <v>1140</v>
      </c>
      <c r="E39" s="19">
        <f>GETPIVOTDATA("Minecraft Season Pass Price",$B$35)</f>
        <v>1140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327"/>
  <sheetViews>
    <sheetView showGridLines="0" showRowColHeaders="0" tabSelected="1" zoomScale="80" zoomScaleNormal="80" workbookViewId="0">
      <selection activeCell="J8" sqref="J8"/>
    </sheetView>
  </sheetViews>
  <sheetFormatPr defaultRowHeight="14.25"/>
  <cols>
    <col min="1" max="1" width="26.125" style="5" customWidth="1"/>
    <col min="2" max="2" width="3.625" customWidth="1"/>
    <col min="12" max="12" width="6.625" customWidth="1"/>
    <col min="17" max="17" width="6.5" customWidth="1"/>
  </cols>
  <sheetData>
    <row r="2" spans="2:30" ht="36" customHeight="1" thickBot="1">
      <c r="C2" s="20" t="s">
        <v>325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2:30" ht="36" customHeight="1" thickTop="1"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2:30" ht="36" customHeight="1">
      <c r="C4" s="23" t="s">
        <v>326</v>
      </c>
      <c r="D4" s="23"/>
      <c r="E4" s="23"/>
      <c r="F4" s="23"/>
      <c r="G4" s="23"/>
      <c r="H4" s="23"/>
      <c r="I4" s="16"/>
      <c r="J4" s="16"/>
      <c r="K4" s="16"/>
      <c r="L4" s="16"/>
    </row>
    <row r="5" spans="2:30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2:30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2:30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2:30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2:30">
      <c r="B9" s="7"/>
      <c r="C9" s="7"/>
      <c r="D9" s="7"/>
      <c r="E9" s="7"/>
      <c r="F9" s="7"/>
      <c r="G9" s="7"/>
      <c r="H9" s="7"/>
      <c r="I9" s="7"/>
      <c r="J9" s="7"/>
      <c r="K9" s="15"/>
      <c r="L9" s="15"/>
      <c r="M9" s="15"/>
      <c r="N9" s="15"/>
      <c r="O9" s="15"/>
      <c r="P9" s="15"/>
      <c r="Q9" s="1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2:30">
      <c r="B10" s="7"/>
      <c r="C10" s="7"/>
      <c r="D10" s="7"/>
      <c r="E10" s="7"/>
      <c r="F10" s="7"/>
      <c r="G10" s="7"/>
      <c r="H10" s="7"/>
      <c r="I10" s="7"/>
      <c r="J10" s="7"/>
      <c r="K10" s="15"/>
      <c r="L10" s="15"/>
      <c r="M10" s="15"/>
      <c r="N10" s="15"/>
      <c r="O10" s="15"/>
      <c r="P10" s="15"/>
      <c r="Q10" s="1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2:30">
      <c r="B11" s="7"/>
      <c r="C11" s="7"/>
      <c r="D11" s="7"/>
      <c r="E11" s="7"/>
      <c r="F11" s="7"/>
      <c r="G11" s="7"/>
      <c r="H11" s="7"/>
      <c r="I11" s="7"/>
      <c r="J11" s="7"/>
      <c r="K11" s="15"/>
      <c r="L11" s="15"/>
      <c r="M11" s="15"/>
      <c r="N11" s="15"/>
      <c r="O11" s="15"/>
      <c r="P11" s="15"/>
      <c r="Q11" s="15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2:30">
      <c r="B12" s="7"/>
      <c r="C12" s="7"/>
      <c r="D12" s="7"/>
      <c r="E12" s="7"/>
      <c r="F12" s="7"/>
      <c r="G12" s="7"/>
      <c r="H12" s="7"/>
      <c r="I12" s="7"/>
      <c r="J12" s="7"/>
      <c r="K12" s="15"/>
      <c r="L12" s="15"/>
      <c r="M12" s="15"/>
      <c r="N12" s="15"/>
      <c r="O12" s="15"/>
      <c r="P12" s="15"/>
      <c r="Q12" s="15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2:30">
      <c r="B13" s="7"/>
      <c r="C13" s="7"/>
      <c r="D13" s="7"/>
      <c r="E13" s="7"/>
      <c r="F13" s="7"/>
      <c r="G13" s="7"/>
      <c r="H13" s="7"/>
      <c r="I13" s="7"/>
      <c r="J13" s="7"/>
      <c r="K13" s="15"/>
      <c r="L13" s="15"/>
      <c r="M13" s="15"/>
      <c r="N13" s="15"/>
      <c r="O13" s="15"/>
      <c r="P13" s="15"/>
      <c r="Q13" s="1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2:30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2:30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2:30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2:30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2:30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2:30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2:30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2:30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2:30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2:30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2:30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2:30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2:30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2:30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2:30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2:30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2:30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2:30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2:30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2:30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2:30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2:30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2:30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2:30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2:30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2:30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2:30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2:30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2:30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2:30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2:30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2:30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2:30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2:30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2:30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2:30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2:30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2:30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2:30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2:30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2:30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2:30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2:30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2:30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2:30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2:30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2:30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2:30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2:30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2:30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2:30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2:30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2:30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2:30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2:30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2:30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2:30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2:30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2:30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2:30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2:30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2:30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2:30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2:30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2:30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2:30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2:30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2:30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2:30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2:30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2:30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2:30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2:30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2:30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2:30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2:30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2:30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2:30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2:30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2:30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2:30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2:30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2:30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2:30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2:30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2:30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2:30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2:30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2:30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2:30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2:30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2:30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2:30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2:30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2:30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2:30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2:30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2:30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2:30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2:30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2:30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2:30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2:30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2:30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2:30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2:30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2:30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2:30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2:30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2:30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2:30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2:30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2:30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2:30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2:30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2:30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2:30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2:30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2:30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2:30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2:30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2:30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2:30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2:30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2:30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2:30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2:30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2:30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2:30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2:30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2:30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2:30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2:30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2:30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2:30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2:30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2:30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2:30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2:30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2:30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2:30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2:30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2:30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2:30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2:30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2:30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2:30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2:30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2:30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2:30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2:30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2:30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2:30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2:30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2:30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2:30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2:30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2:30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2:30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2:30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2:30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2:30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2:30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2:30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2:30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2:30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2:30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2:30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2:30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2:30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2:30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2:30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2:30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2:30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2:30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2:30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2:30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2:30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2:30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2:30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2:30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2:30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2:30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2:30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2:30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2:30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2:30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2:30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2:30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2:30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2:30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2:30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2:30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2:30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2:30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2:30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2:30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2:30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2:30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2:30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2:30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2:30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2:30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2:30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2:30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2:30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2:30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2:30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2:30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2:30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2:30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2:30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2:30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2:30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2:30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2:30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2:30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2:30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2:30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2:30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2:30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2:30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2:30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2:30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2:30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2:30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2:30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2:30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2:30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2:30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2:30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2:30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2:30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2:30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2:30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2:30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2:30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2:30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2:30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2:30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2:30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2:30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2:30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2:30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2:30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2:30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2:30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2:30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2:30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2:30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2:30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2:30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2:30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2:30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2:30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2:30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2:30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2:30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2:30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2:30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2:30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2:30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2:30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2:30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2:30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2:30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2:30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2:30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2:30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2:30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2:30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2:30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2:30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2:30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2:30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2:30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2:30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2:30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2:30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2:30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2:30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2:30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2:30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2:30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2:30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2:30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2:30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2:30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2:30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2:30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2:30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2:30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2:30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2:30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2:30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2:30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2:30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2:30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2:30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2:30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2:30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2:30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2:30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2:30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2:30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2:30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2:30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2:30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2:30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2:30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2:30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2:30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2:30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2:30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purl.org/dc/elements/1.1/"/>
    <ds:schemaRef ds:uri="http://purl.org/dc/terms/"/>
    <ds:schemaRef ds:uri="http://schemas.microsoft.com/office/2006/metadata/properties"/>
    <ds:schemaRef ds:uri="19483571-f922-4e8e-9c1c-26f0a2252132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851b35d3-0456-4d6a-bc2f-da927e91d15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Anderson</cp:lastModifiedBy>
  <dcterms:created xsi:type="dcterms:W3CDTF">2024-12-19T13:13:10Z</dcterms:created>
  <dcterms:modified xsi:type="dcterms:W3CDTF">2026-01-13T18:35:57Z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